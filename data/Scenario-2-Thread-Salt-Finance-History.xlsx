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 &amp; Notes" sheetId="1" state="visible" r:id="rId3"/>
    <sheet name="Annual Financial Summary" sheetId="2" state="visible" r:id="rId4"/>
    <sheet name="Monthly Revenue History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<sst xmlns="http://schemas.openxmlformats.org/spreadsheetml/2006/main" count="98" uniqueCount="98">
  <si>
    <t xml:space="preserve">Thread &amp; Salt -- 5-Year Financial History</t>
  </si>
  <si>
    <t xml:space="preserve">Prepared for internal planning use -- revenue, units and summary P&amp;L, FY2021 through July 2026 YTD.</t>
  </si>
  <si>
    <t xml:space="preserve">Currency</t>
  </si>
  <si>
    <t xml:space="preserve">GBP (£), unrounded to the nearest pound</t>
  </si>
  <si>
    <t xml:space="preserve">Period covered</t>
  </si>
  <si>
    <t xml:space="preserve">FY2021 (partial, founding year) through July 2026 (year to date)</t>
  </si>
  <si>
    <t xml:space="preserve">Monthly detail available from</t>
  </si>
  <si>
    <t xml:space="preserve">January 2024 onward -- see "Methodology" below for FY2021-2023</t>
  </si>
  <si>
    <t xml:space="preserve">Methodology</t>
  </si>
  <si>
    <t xml:space="preserve">FY2021-2023 figures</t>
  </si>
  <si>
    <t xml:space="preserve">Annual totals only. The business ran on a handwritten/spreadsheet order log until migrating to the current order-tracking system in January 2024; no reliable monthly split survives from before that migration.</t>
  </si>
  <si>
    <t xml:space="preserve">Cost of goods sold (COGS)</t>
  </si>
  <si>
    <t xml:space="preserve">Modelled at a flat 42% of revenue across all periods, based on the company's own product costing (consistent unit economics across the product range).</t>
  </si>
  <si>
    <t xml:space="preserve">Operating expense categories</t>
  </si>
  <si>
    <t xml:space="preserve">Marketing &amp; advertising and Fulfilment &amp; shipping are modelled as a percentage of revenue (variable costs); Founders' compensation and Software &amp; other overhead are modelled as fixed monthly amounts (see "Assumptions" tab) that step up periodically rather than scaling with revenue -- this is why a revenue dip compresses net margin by more than the revenue drop alone.</t>
  </si>
  <si>
    <t xml:space="preserve">Rate/rounding note</t>
  </si>
  <si>
    <t xml:space="preserve">All modelled rates and fixed costs are shown on the Assumptions tab; formulas throughout this workbook reference those cells directly, so changing an assumption recalculates every downstream figure.</t>
  </si>
  <si>
    <t xml:space="preserve">Legend</t>
  </si>
  <si>
    <t xml:space="preserve">Blue text</t>
  </si>
  <si>
    <t xml:space="preserve">Hardcoded input (a real or assumed figure)</t>
  </si>
  <si>
    <t xml:space="preserve">Black text</t>
  </si>
  <si>
    <t xml:space="preserve">Formula (calculated from other cells)</t>
  </si>
  <si>
    <t xml:space="preserve">Green text</t>
  </si>
  <si>
    <t xml:space="preserve">Link to a value on another sheet</t>
  </si>
  <si>
    <t xml:space="preserve">Yellow fill</t>
  </si>
  <si>
    <t xml:space="preserve">Key assumption -- see Assumptions tab</t>
  </si>
  <si>
    <t xml:space="preserve">Annual Financial Summary</t>
  </si>
  <si>
    <t xml:space="preserve">FY2021*</t>
  </si>
  <si>
    <t xml:space="preserve">FY2022*</t>
  </si>
  <si>
    <t xml:space="preserve">FY2023*</t>
  </si>
  <si>
    <t xml:space="preserve">FY2024</t>
  </si>
  <si>
    <t xml:space="preserve">FY2025</t>
  </si>
  <si>
    <t xml:space="preserve">FY2026 (YTD Jul)</t>
  </si>
  <si>
    <t xml:space="preserve">Revenue</t>
  </si>
  <si>
    <t xml:space="preserve">Cost of goods sold</t>
  </si>
  <si>
    <t xml:space="preserve">Gross profit</t>
  </si>
  <si>
    <t xml:space="preserve">Gross margin %</t>
  </si>
  <si>
    <t xml:space="preserve">Marketing &amp; advertising</t>
  </si>
  <si>
    <t xml:space="preserve">Fulfilment &amp; shipping</t>
  </si>
  <si>
    <t xml:space="preserve">Platform &amp; payment fees</t>
  </si>
  <si>
    <t xml:space="preserve">Founders' compensation</t>
  </si>
  <si>
    <t xml:space="preserve">Software, subscriptions &amp; other</t>
  </si>
  <si>
    <t xml:space="preserve">Total operating expenses</t>
  </si>
  <si>
    <t xml:space="preserve">Net profit</t>
  </si>
  <si>
    <t xml:space="preserve">Net margin %</t>
  </si>
  <si>
    <t xml:space="preserve">* FY2021-2023: annual-only figures (see Cover &amp; Notes -- "Methodology"). Fixed operating costs for these years are modelled using the 2024 monthly rate, the earliest rate on record.</t>
  </si>
  <si>
    <t xml:space="preserve">Month</t>
  </si>
  <si>
    <t xml:space="preserve">Revenue (£)</t>
  </si>
  <si>
    <t xml:space="preserve">Units</t>
  </si>
  <si>
    <t xml:space="preserve">Rev / unit (£)</t>
  </si>
  <si>
    <t xml:space="preserve">MoM growth</t>
  </si>
  <si>
    <t xml:space="preserve">YoY growth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</si>
  <si>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</si>
  <si>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</si>
  <si>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</si>
  <si>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</si>
  <si>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</si>
  <si>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</si>
  <si>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</si>
  <si>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</si>
  <si>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</si>
  <si>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</si>
  <si>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</si>
  <si>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</si>
  <si>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</si>
  <si>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</si>
  <si>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</si>
  <si>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</si>
  <si>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</si>
  <si>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</si>
  <si>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</si>
  <si>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</si>
  <si>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</si>
  <si>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</si>
  <si>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</si>
  <si>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</si>
  <si>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</si>
  <si>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</si>
  <si>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</si>
  <si>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</si>
  <si>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</si>
  <si>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</si>
  <si>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</si>
  <si>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Monthly detail begins January 2024 (see Cover &amp; Notes -- "Methodology"). January 2025-June 2026 figures reconcile exactly to the committed order-line data (data/hackathon-1/threadandsalt-sales-data.csv).</t>
  </si>
  <si>
    <t xml:space="preserve">Key assumptions</t>
  </si>
  <si>
    <t xml:space="preserve">Rate-based assumptions</t>
  </si>
  <si>
    <t xml:space="preserve">Cost of goods sold, % of revenue</t>
  </si>
  <si>
    <t xml:space="preserve">Marketing &amp; advertising, % of revenue</t>
  </si>
  <si>
    <t xml:space="preserve">Fulfilment &amp; shipping, % of revenue</t>
  </si>
  <si>
    <t xml:space="preserve">Platform &amp; payment processing fees, % of revenue</t>
  </si>
  <si>
    <t xml:space="preserve">Fixed monthly costs (annualised as x12 on the Annual sheet)</t>
  </si>
  <si>
    <t xml:space="preserve">Cost line</t>
  </si>
  <si>
    <t xml:space="preserve">2024</t>
  </si>
  <si>
    <t xml:space="preserve">2025</t>
  </si>
  <si>
    <t xml:space="preserve">2026</t>
  </si>
  <si>
    <t xml:space="preserve">Founders' compensation / drawings (£/month)</t>
  </si>
  <si>
    <t xml:space="preserve">Software, subscriptions &amp; other overhead (£/month)</t>
  </si>
  <si>
    <t xml:space="preserve">FY2021-2023 fixed costs (below) are modelled using the 2024 monthly rate x12, since no separate figure survives for those earlier years -- the same limitation noted on the Cover tab.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</si>
</sst>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#,##0"/>
    <numFmt numFmtId="168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01E"/>
        <bgColor rgb="FF000000"/>
      </patternFill>
    </fill>
    <fill>
      <patternFill patternType="solid">
        <fgColor rgb="FFE8E8E8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10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5" t="s">
        <v>8</v>
      </c>
      <c r="B8" s="4"/>
    </row>
    <row r="9" customFormat="false" ht="39.5" hidden="false" customHeight="false" outlineLevel="0" collapsed="false">
      <c r="A9" s="3" t="s">
        <v>9</v>
      </c>
      <c r="B9" s="4" t="s">
        <v>10</v>
      </c>
    </row>
    <row r="10" customFormat="false" ht="27" hidden="false" customHeight="false" outlineLevel="0" collapsed="false">
      <c r="A10" s="3" t="s">
        <v>11</v>
      </c>
      <c r="B10" s="4" t="s">
        <v>12</v>
      </c>
    </row>
    <row r="11" customFormat="false" ht="64.5" hidden="false" customHeight="false" outlineLevel="0" collapsed="false">
      <c r="A11" s="3" t="s">
        <v>13</v>
      </c>
      <c r="B11" s="4" t="s">
        <v>14</v>
      </c>
    </row>
    <row r="12" customFormat="false" ht="39.5" hidden="false" customHeight="false" outlineLevel="0" collapsed="false">
      <c r="A12" s="3" t="s">
        <v>15</v>
      </c>
      <c r="B12" s="4" t="s">
        <v>16</v>
      </c>
    </row>
    <row r="14" customFormat="false" ht="15" hidden="false" customHeight="false" outlineLevel="0" collapsed="false">
      <c r="A14" s="5" t="s">
        <v>17</v>
      </c>
    </row>
    <row r="15" customFormat="false" ht="15" hidden="false" customHeight="false" outlineLevel="0" collapsed="false">
      <c r="A15" s="3" t="s">
        <v>18</v>
      </c>
      <c r="B15" s="3" t="s">
        <v>19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3" t="s">
        <v>22</v>
      </c>
      <c r="B17" s="3" t="s">
        <v>23</v>
      </c>
    </row>
    <row r="18" customFormat="false" ht="15" hidden="false" customHeight="false" outlineLevel="0" collapsed="false">
      <c r="A18" s="3" t="s">
        <v>24</v>
      </c>
      <c r="B18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6" t="s">
        <v>26</v>
      </c>
    </row>
    <row r="3" customFormat="false" ht="15" hidden="false" customHeight="false" outlineLevel="0" collapsed="false"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</row>
    <row r="4" customFormat="false" ht="15" hidden="false" customHeight="false" outlineLevel="0" collapsed="false">
      <c r="A4" s="5" t="s">
        <v>33</v>
      </c>
      <c r="B4" s="8" t="n">
        <v>215600</v>
      </c>
      <c r="C4" s="8" t="n">
        <v>467400</v>
      </c>
      <c r="D4" s="8" t="n">
        <v>532800</v>
      </c>
      <c r="E4" s="9" t="n">
        <f aca="false">SUM('Monthly Revenue History'!B2:B13)</f>
        <v>588800</v>
      </c>
      <c r="F4" s="9" t="n">
        <f aca="false">SUM('Monthly Revenue History'!B14:B25)</f>
        <v>638802</v>
      </c>
      <c r="G4" s="9" t="n">
        <f aca="false">SUM('Monthly Revenue History'!B26:B32)</f>
        <v>347342</v>
      </c>
    </row>
    <row r="5" customFormat="false" ht="15" hidden="false" customHeight="false" outlineLevel="0" collapsed="false">
      <c r="A5" s="3" t="s">
        <v>34</v>
      </c>
      <c r="B5" s="10" t="n">
        <f aca="false">B4*Assumptions!$B$4</f>
        <v>90552</v>
      </c>
      <c r="C5" s="10" t="n">
        <f aca="false">C4*Assumptions!$B$4</f>
        <v>196308</v>
      </c>
      <c r="D5" s="10" t="n">
        <f aca="false">D4*Assumptions!$B$4</f>
        <v>223776</v>
      </c>
      <c r="E5" s="10" t="n">
        <f aca="false">E4*Assumptions!$B$4</f>
        <v>247296</v>
      </c>
      <c r="F5" s="10" t="n">
        <f aca="false">F4*Assumptions!$B$4</f>
        <v>268296.84</v>
      </c>
      <c r="G5" s="10" t="n">
        <f aca="false">G4*Assumptions!$B$4</f>
        <v>145883.64</v>
      </c>
    </row>
    <row r="6" customFormat="false" ht="15" hidden="false" customHeight="false" outlineLevel="0" collapsed="false">
      <c r="A6" s="11" t="s">
        <v>35</v>
      </c>
      <c r="B6" s="12" t="n">
        <f aca="false">B4-B5</f>
        <v>125048</v>
      </c>
      <c r="C6" s="12" t="n">
        <f aca="false">C4-C5</f>
        <v>271092</v>
      </c>
      <c r="D6" s="12" t="n">
        <f aca="false">D4-D5</f>
        <v>309024</v>
      </c>
      <c r="E6" s="12" t="n">
        <f aca="false">E4-E5</f>
        <v>341504</v>
      </c>
      <c r="F6" s="12" t="n">
        <f aca="false">F4-F5</f>
        <v>370505.16</v>
      </c>
      <c r="G6" s="12" t="n">
        <f aca="false">G4-G5</f>
        <v>201458.36</v>
      </c>
    </row>
    <row r="7" customFormat="false" ht="15" hidden="false" customHeight="false" outlineLevel="0" collapsed="false">
      <c r="A7" s="13" t="s">
        <v>36</v>
      </c>
      <c r="B7" s="14" t="n">
        <f aca="false">B6/B4</f>
        <v>0.58</v>
      </c>
      <c r="C7" s="14" t="n">
        <f aca="false">C6/C4</f>
        <v>0.58</v>
      </c>
      <c r="D7" s="14" t="n">
        <f aca="false">D6/D4</f>
        <v>0.58</v>
      </c>
      <c r="E7" s="14" t="n">
        <f aca="false">E6/E4</f>
        <v>0.58</v>
      </c>
      <c r="F7" s="14" t="n">
        <f aca="false">F6/F4</f>
        <v>0.58</v>
      </c>
      <c r="G7" s="14" t="n">
        <f aca="false">G6/G4</f>
        <v>0.58</v>
      </c>
    </row>
    <row r="9" customFormat="false" ht="15" hidden="false" customHeight="false" outlineLevel="0" collapsed="false">
      <c r="A9" s="5" t="s">
        <v>37</v>
      </c>
      <c r="B9" s="10" t="n">
        <f aca="false">B4*Assumptions!$B$5</f>
        <v>30184</v>
      </c>
      <c r="C9" s="10" t="n">
        <f aca="false">C4*Assumptions!$B$5</f>
        <v>65436</v>
      </c>
      <c r="D9" s="10" t="n">
        <f aca="false">D4*Assumptions!$B$5</f>
        <v>74592</v>
      </c>
      <c r="E9" s="10" t="n">
        <f aca="false">E4*Assumptions!$B$5</f>
        <v>82432</v>
      </c>
      <c r="F9" s="10" t="n">
        <f aca="false">F4*Assumptions!$B$5</f>
        <v>89432.28</v>
      </c>
      <c r="G9" s="10" t="n">
        <f aca="false">G4*Assumptions!$B$5</f>
        <v>48627.88</v>
      </c>
    </row>
    <row r="10" customFormat="false" ht="15" hidden="false" customHeight="false" outlineLevel="0" collapsed="false">
      <c r="A10" s="3" t="s">
        <v>38</v>
      </c>
      <c r="B10" s="10" t="n">
        <f aca="false">B4*Assumptions!$B$6</f>
        <v>19404</v>
      </c>
      <c r="C10" s="10" t="n">
        <f aca="false">C4*Assumptions!$B$6</f>
        <v>42066</v>
      </c>
      <c r="D10" s="10" t="n">
        <f aca="false">D4*Assumptions!$B$6</f>
        <v>47952</v>
      </c>
      <c r="E10" s="10" t="n">
        <f aca="false">E4*Assumptions!$B$6</f>
        <v>52992</v>
      </c>
      <c r="F10" s="10" t="n">
        <f aca="false">F4*Assumptions!$B$6</f>
        <v>57492.18</v>
      </c>
      <c r="G10" s="10" t="n">
        <f aca="false">G4*Assumptions!$B$6</f>
        <v>31260.78</v>
      </c>
    </row>
    <row r="11" customFormat="false" ht="15" hidden="false" customHeight="false" outlineLevel="0" collapsed="false">
      <c r="A11" s="3" t="s">
        <v>39</v>
      </c>
      <c r="B11" s="10" t="n">
        <f aca="false">B4*Assumptions!$B$7</f>
        <v>7546</v>
      </c>
      <c r="C11" s="10" t="n">
        <f aca="false">C4*Assumptions!$B$7</f>
        <v>16359</v>
      </c>
      <c r="D11" s="10" t="n">
        <f aca="false">D4*Assumptions!$B$7</f>
        <v>18648</v>
      </c>
      <c r="E11" s="10" t="n">
        <f aca="false">E4*Assumptions!$B$7</f>
        <v>20608</v>
      </c>
      <c r="F11" s="10" t="n">
        <f aca="false">F4*Assumptions!$B$7</f>
        <v>22358.07</v>
      </c>
      <c r="G11" s="10" t="n">
        <f aca="false">G4*Assumptions!$B$7</f>
        <v>12156.97</v>
      </c>
    </row>
    <row r="12" customFormat="false" ht="15" hidden="false" customHeight="false" outlineLevel="0" collapsed="false">
      <c r="A12" s="3" t="s">
        <v>40</v>
      </c>
      <c r="B12" s="9" t="n">
        <f aca="false">Assumptions!$B$11*12</f>
        <v>38400</v>
      </c>
      <c r="C12" s="9" t="n">
        <f aca="false">Assumptions!$B$11*12</f>
        <v>38400</v>
      </c>
      <c r="D12" s="9" t="n">
        <f aca="false">Assumptions!$B$11*12</f>
        <v>38400</v>
      </c>
      <c r="E12" s="9" t="n">
        <f aca="false">Assumptions!$B$11*12</f>
        <v>38400</v>
      </c>
      <c r="F12" s="9" t="n">
        <f aca="false">Assumptions!$C$11*12</f>
        <v>42000</v>
      </c>
      <c r="G12" s="9" t="n">
        <f aca="false">Assumptions!$D$11*7</f>
        <v>25900</v>
      </c>
    </row>
    <row r="13" customFormat="false" ht="15" hidden="false" customHeight="false" outlineLevel="0" collapsed="false">
      <c r="A13" s="3" t="s">
        <v>41</v>
      </c>
      <c r="B13" s="9" t="n">
        <f aca="false">Assumptions!$B$12*12</f>
        <v>10200</v>
      </c>
      <c r="C13" s="9" t="n">
        <f aca="false">Assumptions!$B$12*12</f>
        <v>10200</v>
      </c>
      <c r="D13" s="9" t="n">
        <f aca="false">Assumptions!$B$12*12</f>
        <v>10200</v>
      </c>
      <c r="E13" s="9" t="n">
        <f aca="false">Assumptions!$B$12*12</f>
        <v>10200</v>
      </c>
      <c r="F13" s="9" t="n">
        <f aca="false">Assumptions!$C$12*12</f>
        <v>11400</v>
      </c>
      <c r="G13" s="9" t="n">
        <f aca="false">Assumptions!$D$12*7</f>
        <v>6650</v>
      </c>
    </row>
    <row r="14" customFormat="false" ht="15" hidden="false" customHeight="false" outlineLevel="0" collapsed="false">
      <c r="A14" s="11" t="s">
        <v>42</v>
      </c>
      <c r="B14" s="12" t="n">
        <f aca="false">SUM(B9:B13)</f>
        <v>105734</v>
      </c>
      <c r="C14" s="12" t="n">
        <f aca="false">SUM(C9:C13)</f>
        <v>172461</v>
      </c>
      <c r="D14" s="12" t="n">
        <f aca="false">SUM(D9:D13)</f>
        <v>189792</v>
      </c>
      <c r="E14" s="12" t="n">
        <f aca="false">SUM(E9:E13)</f>
        <v>204632</v>
      </c>
      <c r="F14" s="12" t="n">
        <f aca="false">SUM(F9:F13)</f>
        <v>222682.53</v>
      </c>
      <c r="G14" s="12" t="n">
        <f aca="false">SUM(G9:G13)</f>
        <v>124595.63</v>
      </c>
    </row>
    <row r="16" customFormat="false" ht="15" hidden="false" customHeight="false" outlineLevel="0" collapsed="false">
      <c r="A16" s="11" t="s">
        <v>43</v>
      </c>
      <c r="B16" s="12" t="n">
        <f aca="false">B6-B14</f>
        <v>19314</v>
      </c>
      <c r="C16" s="12" t="n">
        <f aca="false">C6-C14</f>
        <v>98631</v>
      </c>
      <c r="D16" s="12" t="n">
        <f aca="false">D6-D14</f>
        <v>119232</v>
      </c>
      <c r="E16" s="12" t="n">
        <f aca="false">E6-E14</f>
        <v>136872</v>
      </c>
      <c r="F16" s="12" t="n">
        <f aca="false">F6-F14</f>
        <v>147822.63</v>
      </c>
      <c r="G16" s="12" t="n">
        <f aca="false">G6-G14</f>
        <v>76862.73</v>
      </c>
    </row>
    <row r="17" customFormat="false" ht="15" hidden="false" customHeight="false" outlineLevel="0" collapsed="false">
      <c r="A17" s="13" t="s">
        <v>44</v>
      </c>
      <c r="B17" s="14" t="n">
        <f aca="false">B16/B4</f>
        <v>0.089582560296846</v>
      </c>
      <c r="C17" s="14" t="n">
        <f aca="false">C16/C4</f>
        <v>0.21102053915276</v>
      </c>
      <c r="D17" s="14" t="n">
        <f aca="false">D16/D4</f>
        <v>0.223783783783784</v>
      </c>
      <c r="E17" s="14" t="n">
        <f aca="false">E16/E4</f>
        <v>0.232459239130435</v>
      </c>
      <c r="F17" s="14" t="n">
        <f aca="false">F16/F4</f>
        <v>0.231406022523411</v>
      </c>
      <c r="G17" s="14" t="n">
        <f aca="false">G16/G4</f>
        <v>0.221288326778794</v>
      </c>
    </row>
    <row r="19" customFormat="false" ht="22" hidden="false" customHeight="true" outlineLevel="0" collapsed="false">
      <c r="A19" s="15" t="s">
        <v>45</v>
      </c>
      <c r="B19" s="15"/>
      <c r="C19" s="15"/>
      <c r="D19" s="15"/>
      <c r="E19" s="15"/>
      <c r="F19" s="15"/>
      <c r="G19" s="15"/>
    </row>
  </sheetData>
  <mergeCells count="1"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</row>
    <row r="2" customFormat="false" ht="15" hidden="false" customHeight="false" outlineLevel="0" collapsed="false">
      <c r="A2" s="16" t="s">
        <v>52</v>
      </c>
      <c r="B2" s="8" t="n">
        <v>51517</v>
      </c>
      <c r="C2" s="17" t="n">
        <v>813</v>
      </c>
      <c r="D2" s="18" t="n">
        <f aca="false">B2/C2</f>
        <v>63.3665436654367</v>
      </c>
      <c r="E2" s="19"/>
      <c r="F2" s="19"/>
    </row>
    <row r="3" customFormat="false" ht="15" hidden="false" customHeight="false" outlineLevel="0" collapsed="false">
      <c r="A3" s="16" t="s">
        <v>53</v>
      </c>
      <c r="B3" s="8" t="n">
        <v>45199</v>
      </c>
      <c r="C3" s="17" t="n">
        <v>681</v>
      </c>
      <c r="D3" s="18" t="n">
        <f aca="false">B3/C3</f>
        <v>66.3715124816446</v>
      </c>
      <c r="E3" s="20" t="n">
        <f aca="false">(B3-B2)/B2</f>
        <v>-0.12263912883126</v>
      </c>
      <c r="F3" s="19"/>
    </row>
    <row r="4" customFormat="false" ht="15" hidden="false" customHeight="false" outlineLevel="0" collapsed="false">
      <c r="A4" s="16" t="s">
        <v>54</v>
      </c>
      <c r="B4" s="8" t="n">
        <v>39715</v>
      </c>
      <c r="C4" s="17" t="n">
        <v>600</v>
      </c>
      <c r="D4" s="18" t="n">
        <f aca="false">B4/C4</f>
        <v>66.1916666666667</v>
      </c>
      <c r="E4" s="20" t="n">
        <f aca="false">(B4-B3)/B3</f>
        <v>-0.121330117922963</v>
      </c>
      <c r="F4" s="19"/>
    </row>
    <row r="5" customFormat="false" ht="15" hidden="false" customHeight="false" outlineLevel="0" collapsed="false">
      <c r="A5" s="16" t="s">
        <v>55</v>
      </c>
      <c r="B5" s="8" t="n">
        <v>38620</v>
      </c>
      <c r="C5" s="17" t="n">
        <v>619</v>
      </c>
      <c r="D5" s="18" t="n">
        <f aca="false">B5/C5</f>
        <v>62.3909531502423</v>
      </c>
      <c r="E5" s="20" t="n">
        <f aca="false">(B5-B4)/B4</f>
        <v>-0.0275714465567166</v>
      </c>
      <c r="F5" s="19"/>
    </row>
    <row r="6" customFormat="false" ht="15" hidden="false" customHeight="false" outlineLevel="0" collapsed="false">
      <c r="A6" s="16" t="s">
        <v>56</v>
      </c>
      <c r="B6" s="8" t="n">
        <v>49438</v>
      </c>
      <c r="C6" s="17" t="n">
        <v>745</v>
      </c>
      <c r="D6" s="18" t="n">
        <f aca="false">B6/C6</f>
        <v>66.3597315436242</v>
      </c>
      <c r="E6" s="20" t="n">
        <f aca="false">(B6-B5)/B5</f>
        <v>0.280113930605904</v>
      </c>
      <c r="F6" s="19"/>
    </row>
    <row r="7" customFormat="false" ht="15" hidden="false" customHeight="false" outlineLevel="0" collapsed="false">
      <c r="A7" s="16" t="s">
        <v>57</v>
      </c>
      <c r="B7" s="8" t="n">
        <v>47473</v>
      </c>
      <c r="C7" s="17" t="n">
        <v>755</v>
      </c>
      <c r="D7" s="18" t="n">
        <f aca="false">B7/C7</f>
        <v>62.8781456953642</v>
      </c>
      <c r="E7" s="20" t="n">
        <f aca="false">(B7-B6)/B6</f>
        <v>-0.0397467535094462</v>
      </c>
      <c r="F7" s="19"/>
    </row>
    <row r="8" customFormat="false" ht="15" hidden="false" customHeight="false" outlineLevel="0" collapsed="false">
      <c r="A8" s="16" t="s">
        <v>58</v>
      </c>
      <c r="B8" s="8" t="n">
        <v>51523</v>
      </c>
      <c r="C8" s="17" t="n">
        <v>828</v>
      </c>
      <c r="D8" s="18" t="n">
        <f aca="false">B8/C8</f>
        <v>62.225845410628</v>
      </c>
      <c r="E8" s="20" t="n">
        <f aca="false">(B8-B7)/B7</f>
        <v>0.0853116508331051</v>
      </c>
      <c r="F8" s="19"/>
    </row>
    <row r="9" customFormat="false" ht="15" hidden="false" customHeight="false" outlineLevel="0" collapsed="false">
      <c r="A9" s="16" t="s">
        <v>59</v>
      </c>
      <c r="B9" s="8" t="n">
        <v>49218</v>
      </c>
      <c r="C9" s="17" t="n">
        <v>776</v>
      </c>
      <c r="D9" s="18" t="n">
        <f aca="false">B9/C9</f>
        <v>63.4252577319588</v>
      </c>
      <c r="E9" s="20" t="n">
        <f aca="false">(B9-B8)/B8</f>
        <v>-0.0447373017875512</v>
      </c>
      <c r="F9" s="19"/>
    </row>
    <row r="10" customFormat="false" ht="15" hidden="false" customHeight="false" outlineLevel="0" collapsed="false">
      <c r="A10" s="16" t="s">
        <v>60</v>
      </c>
      <c r="B10" s="8" t="n">
        <v>44027</v>
      </c>
      <c r="C10" s="17" t="n">
        <v>669</v>
      </c>
      <c r="D10" s="18" t="n">
        <f aca="false">B10/C10</f>
        <v>65.8101644245142</v>
      </c>
      <c r="E10" s="20" t="n">
        <f aca="false">(B10-B9)/B9</f>
        <v>-0.105469543662888</v>
      </c>
      <c r="F10" s="19"/>
    </row>
    <row r="11" customFormat="false" ht="15" hidden="false" customHeight="false" outlineLevel="0" collapsed="false">
      <c r="A11" s="16" t="s">
        <v>61</v>
      </c>
      <c r="B11" s="8" t="n">
        <v>51095</v>
      </c>
      <c r="C11" s="17" t="n">
        <v>784</v>
      </c>
      <c r="D11" s="18" t="n">
        <f aca="false">B11/C11</f>
        <v>65.172193877551</v>
      </c>
      <c r="E11" s="20" t="n">
        <f aca="false">(B11-B10)/B10</f>
        <v>0.160537851772776</v>
      </c>
      <c r="F11" s="19"/>
    </row>
    <row r="12" customFormat="false" ht="15" hidden="false" customHeight="false" outlineLevel="0" collapsed="false">
      <c r="A12" s="16" t="s">
        <v>62</v>
      </c>
      <c r="B12" s="8" t="n">
        <v>57698</v>
      </c>
      <c r="C12" s="17" t="n">
        <v>905</v>
      </c>
      <c r="D12" s="18" t="n">
        <f aca="false">B12/C12</f>
        <v>63.7546961325967</v>
      </c>
      <c r="E12" s="20" t="n">
        <f aca="false">(B12-B11)/B11</f>
        <v>0.129229865936002</v>
      </c>
      <c r="F12" s="19"/>
    </row>
    <row r="13" customFormat="false" ht="15" hidden="false" customHeight="false" outlineLevel="0" collapsed="false">
      <c r="A13" s="16" t="s">
        <v>63</v>
      </c>
      <c r="B13" s="8" t="n">
        <v>63277</v>
      </c>
      <c r="C13" s="17" t="n">
        <v>976</v>
      </c>
      <c r="D13" s="18" t="n">
        <f aca="false">B13/C13</f>
        <v>64.8329918032787</v>
      </c>
      <c r="E13" s="20" t="n">
        <f aca="false">(B13-B12)/B12</f>
        <v>0.0966931262782072</v>
      </c>
      <c r="F13" s="19"/>
    </row>
    <row r="14" customFormat="false" ht="15" hidden="false" customHeight="false" outlineLevel="0" collapsed="false">
      <c r="A14" s="16" t="s">
        <v>64</v>
      </c>
      <c r="B14" s="8" t="n">
        <v>55464</v>
      </c>
      <c r="C14" s="17" t="n">
        <v>846</v>
      </c>
      <c r="D14" s="18" t="n">
        <f aca="false">B14/C14</f>
        <v>65.5602836879433</v>
      </c>
      <c r="E14" s="20" t="n">
        <f aca="false">(B14-B13)/B13</f>
        <v>-0.123472983864595</v>
      </c>
      <c r="F14" s="20" t="n">
        <f aca="false">(B14-B2)/B2</f>
        <v>0.0766154861502029</v>
      </c>
    </row>
    <row r="15" customFormat="false" ht="15" hidden="false" customHeight="false" outlineLevel="0" collapsed="false">
      <c r="A15" s="16" t="s">
        <v>65</v>
      </c>
      <c r="B15" s="8" t="n">
        <v>49530</v>
      </c>
      <c r="C15" s="17" t="n">
        <v>768</v>
      </c>
      <c r="D15" s="18" t="n">
        <f aca="false">B15/C15</f>
        <v>64.4921875</v>
      </c>
      <c r="E15" s="20" t="n">
        <f aca="false">(B15-B14)/B14</f>
        <v>-0.106988316745997</v>
      </c>
      <c r="F15" s="20" t="n">
        <f aca="false">(B15-B3)/B3</f>
        <v>0.0958207039978761</v>
      </c>
    </row>
    <row r="16" customFormat="false" ht="15" hidden="false" customHeight="false" outlineLevel="0" collapsed="false">
      <c r="A16" s="16" t="s">
        <v>66</v>
      </c>
      <c r="B16" s="8" t="n">
        <v>43524</v>
      </c>
      <c r="C16" s="17" t="n">
        <v>697</v>
      </c>
      <c r="D16" s="18" t="n">
        <f aca="false">B16/C16</f>
        <v>62.4447632711621</v>
      </c>
      <c r="E16" s="20" t="n">
        <f aca="false">(B16-B15)/B15</f>
        <v>-0.121259842519685</v>
      </c>
      <c r="F16" s="20" t="n">
        <f aca="false">(B16-B4)/B4</f>
        <v>0.0959083469721768</v>
      </c>
    </row>
    <row r="17" customFormat="false" ht="15" hidden="false" customHeight="false" outlineLevel="0" collapsed="false">
      <c r="A17" s="16" t="s">
        <v>67</v>
      </c>
      <c r="B17" s="8" t="n">
        <v>44188</v>
      </c>
      <c r="C17" s="17" t="n">
        <v>693</v>
      </c>
      <c r="D17" s="18" t="n">
        <f aca="false">B17/C17</f>
        <v>63.7633477633478</v>
      </c>
      <c r="E17" s="20" t="n">
        <f aca="false">(B17-B16)/B16</f>
        <v>0.0152559507398217</v>
      </c>
      <c r="F17" s="20" t="n">
        <f aca="false">(B17-B5)/B5</f>
        <v>0.144174003107198</v>
      </c>
    </row>
    <row r="18" customFormat="false" ht="15" hidden="false" customHeight="false" outlineLevel="0" collapsed="false">
      <c r="A18" s="16" t="s">
        <v>68</v>
      </c>
      <c r="B18" s="8" t="n">
        <v>50554</v>
      </c>
      <c r="C18" s="17" t="n">
        <v>805</v>
      </c>
      <c r="D18" s="18" t="n">
        <f aca="false">B18/C18</f>
        <v>62.8</v>
      </c>
      <c r="E18" s="20" t="n">
        <f aca="false">(B18-B17)/B17</f>
        <v>0.144066262333665</v>
      </c>
      <c r="F18" s="20" t="n">
        <f aca="false">(B18-B6)/B6</f>
        <v>0.0225737287107084</v>
      </c>
    </row>
    <row r="19" customFormat="false" ht="15" hidden="false" customHeight="false" outlineLevel="0" collapsed="false">
      <c r="A19" s="16" t="s">
        <v>69</v>
      </c>
      <c r="B19" s="8" t="n">
        <v>54134</v>
      </c>
      <c r="C19" s="17" t="n">
        <v>862</v>
      </c>
      <c r="D19" s="18" t="n">
        <f aca="false">B19/C19</f>
        <v>62.800464037123</v>
      </c>
      <c r="E19" s="20" t="n">
        <f aca="false">(B19-B18)/B18</f>
        <v>0.0708153657475175</v>
      </c>
      <c r="F19" s="20" t="n">
        <f aca="false">(B19-B7)/B7</f>
        <v>0.140311334864028</v>
      </c>
    </row>
    <row r="20" customFormat="false" ht="15" hidden="false" customHeight="false" outlineLevel="0" collapsed="false">
      <c r="A20" s="16" t="s">
        <v>70</v>
      </c>
      <c r="B20" s="8" t="n">
        <v>53644</v>
      </c>
      <c r="C20" s="17" t="n">
        <v>841</v>
      </c>
      <c r="D20" s="18" t="n">
        <f aca="false">B20/C20</f>
        <v>63.7859690844233</v>
      </c>
      <c r="E20" s="20" t="n">
        <f aca="false">(B20-B19)/B19</f>
        <v>-0.00905161266486866</v>
      </c>
      <c r="F20" s="20" t="n">
        <f aca="false">(B20-B8)/B8</f>
        <v>0.0411660811676339</v>
      </c>
    </row>
    <row r="21" customFormat="false" ht="15" hidden="false" customHeight="false" outlineLevel="0" collapsed="false">
      <c r="A21" s="16" t="s">
        <v>71</v>
      </c>
      <c r="B21" s="8" t="n">
        <v>52796</v>
      </c>
      <c r="C21" s="17" t="n">
        <v>837</v>
      </c>
      <c r="D21" s="18" t="n">
        <f aca="false">B21/C21</f>
        <v>63.0776583034648</v>
      </c>
      <c r="E21" s="20" t="n">
        <f aca="false">(B21-B20)/B20</f>
        <v>-0.0158079188725673</v>
      </c>
      <c r="F21" s="20" t="n">
        <f aca="false">(B21-B9)/B9</f>
        <v>0.0726969807793897</v>
      </c>
    </row>
    <row r="22" customFormat="false" ht="15" hidden="false" customHeight="false" outlineLevel="0" collapsed="false">
      <c r="A22" s="16" t="s">
        <v>72</v>
      </c>
      <c r="B22" s="8" t="n">
        <v>48188</v>
      </c>
      <c r="C22" s="17" t="n">
        <v>761</v>
      </c>
      <c r="D22" s="18" t="n">
        <f aca="false">B22/C22</f>
        <v>63.3219448094612</v>
      </c>
      <c r="E22" s="20" t="n">
        <f aca="false">(B22-B21)/B21</f>
        <v>-0.0872793393438897</v>
      </c>
      <c r="F22" s="20" t="n">
        <f aca="false">(B22-B10)/B10</f>
        <v>0.094510186930747</v>
      </c>
    </row>
    <row r="23" customFormat="false" ht="15" hidden="false" customHeight="false" outlineLevel="0" collapsed="false">
      <c r="A23" s="16" t="s">
        <v>73</v>
      </c>
      <c r="B23" s="8" t="n">
        <v>52980</v>
      </c>
      <c r="C23" s="17" t="n">
        <v>824</v>
      </c>
      <c r="D23" s="18" t="n">
        <f aca="false">B23/C23</f>
        <v>64.2961165048544</v>
      </c>
      <c r="E23" s="20" t="n">
        <f aca="false">(B23-B22)/B22</f>
        <v>0.0994438449406491</v>
      </c>
      <c r="F23" s="20" t="n">
        <f aca="false">(B23-B11)/B11</f>
        <v>0.0368920638027204</v>
      </c>
    </row>
    <row r="24" customFormat="false" ht="15" hidden="false" customHeight="false" outlineLevel="0" collapsed="false">
      <c r="A24" s="16" t="s">
        <v>74</v>
      </c>
      <c r="B24" s="8" t="n">
        <v>65336</v>
      </c>
      <c r="C24" s="17" t="n">
        <v>996</v>
      </c>
      <c r="D24" s="18" t="n">
        <f aca="false">B24/C24</f>
        <v>65.5983935742972</v>
      </c>
      <c r="E24" s="20" t="n">
        <f aca="false">(B24-B23)/B23</f>
        <v>0.233220083050208</v>
      </c>
      <c r="F24" s="20" t="n">
        <f aca="false">(B24-B12)/B12</f>
        <v>0.13237893861139</v>
      </c>
    </row>
    <row r="25" customFormat="false" ht="15" hidden="false" customHeight="false" outlineLevel="0" collapsed="false">
      <c r="A25" s="16" t="s">
        <v>75</v>
      </c>
      <c r="B25" s="8" t="n">
        <v>68464</v>
      </c>
      <c r="C25" s="17" t="n">
        <v>1029</v>
      </c>
      <c r="D25" s="18" t="n">
        <f aca="false">B25/C25</f>
        <v>66.5344995140914</v>
      </c>
      <c r="E25" s="20" t="n">
        <f aca="false">(B25-B24)/B24</f>
        <v>0.0478755969144117</v>
      </c>
      <c r="F25" s="20" t="n">
        <f aca="false">(B25-B13)/B13</f>
        <v>0.0819729127487081</v>
      </c>
    </row>
    <row r="26" customFormat="false" ht="15" hidden="false" customHeight="false" outlineLevel="0" collapsed="false">
      <c r="A26" s="16" t="s">
        <v>76</v>
      </c>
      <c r="B26" s="8" t="n">
        <v>57428</v>
      </c>
      <c r="C26" s="17" t="n">
        <v>868</v>
      </c>
      <c r="D26" s="18" t="n">
        <f aca="false">B26/C26</f>
        <v>66.1612903225806</v>
      </c>
      <c r="E26" s="20" t="n">
        <f aca="false">(B26-B25)/B25</f>
        <v>-0.16119420425333</v>
      </c>
      <c r="F26" s="20" t="n">
        <f aca="false">(B26-B14)/B14</f>
        <v>0.0354103562671282</v>
      </c>
    </row>
    <row r="27" customFormat="false" ht="15" hidden="false" customHeight="false" outlineLevel="0" collapsed="false">
      <c r="A27" s="16" t="s">
        <v>77</v>
      </c>
      <c r="B27" s="8" t="n">
        <v>49998</v>
      </c>
      <c r="C27" s="17" t="n">
        <v>761</v>
      </c>
      <c r="D27" s="18" t="n">
        <f aca="false">B27/C27</f>
        <v>65.700394218134</v>
      </c>
      <c r="E27" s="20" t="n">
        <f aca="false">(B27-B26)/B26</f>
        <v>-0.129379396809919</v>
      </c>
      <c r="F27" s="20" t="n">
        <f aca="false">(B27-B15)/B15</f>
        <v>0.0094488188976378</v>
      </c>
    </row>
    <row r="28" customFormat="false" ht="15" hidden="false" customHeight="false" outlineLevel="0" collapsed="false">
      <c r="A28" s="16" t="s">
        <v>78</v>
      </c>
      <c r="B28" s="8" t="n">
        <v>45876</v>
      </c>
      <c r="C28" s="17" t="n">
        <v>712</v>
      </c>
      <c r="D28" s="18" t="n">
        <f aca="false">B28/C28</f>
        <v>64.4325842696629</v>
      </c>
      <c r="E28" s="20" t="n">
        <f aca="false">(B28-B27)/B27</f>
        <v>-0.0824432977319093</v>
      </c>
      <c r="F28" s="20" t="n">
        <f aca="false">(B28-B16)/B16</f>
        <v>0.0540391508133444</v>
      </c>
    </row>
    <row r="29" customFormat="false" ht="15" hidden="false" customHeight="false" outlineLevel="0" collapsed="false">
      <c r="A29" s="16" t="s">
        <v>79</v>
      </c>
      <c r="B29" s="8" t="n">
        <v>47120</v>
      </c>
      <c r="C29" s="17" t="n">
        <v>737</v>
      </c>
      <c r="D29" s="18" t="n">
        <f aca="false">B29/C29</f>
        <v>63.9348710990502</v>
      </c>
      <c r="E29" s="20" t="n">
        <f aca="false">(B29-B28)/B28</f>
        <v>0.0271165751155288</v>
      </c>
      <c r="F29" s="20" t="n">
        <f aca="false">(B29-B17)/B17</f>
        <v>0.0663528559789988</v>
      </c>
    </row>
    <row r="30" customFormat="false" ht="15" hidden="false" customHeight="false" outlineLevel="0" collapsed="false">
      <c r="A30" s="16" t="s">
        <v>80</v>
      </c>
      <c r="B30" s="8" t="n">
        <v>49704</v>
      </c>
      <c r="C30" s="17" t="n">
        <v>784</v>
      </c>
      <c r="D30" s="18" t="n">
        <f aca="false">B30/C30</f>
        <v>63.3979591836735</v>
      </c>
      <c r="E30" s="20" t="n">
        <f aca="false">(B30-B29)/B29</f>
        <v>0.0548387096774194</v>
      </c>
      <c r="F30" s="20" t="n">
        <f aca="false">(B30-B18)/B18</f>
        <v>-0.0168137041579301</v>
      </c>
    </row>
    <row r="31" customFormat="false" ht="15" hidden="false" customHeight="false" outlineLevel="0" collapsed="false">
      <c r="A31" s="16" t="s">
        <v>81</v>
      </c>
      <c r="B31" s="8" t="n">
        <v>55366</v>
      </c>
      <c r="C31" s="17" t="n">
        <v>868</v>
      </c>
      <c r="D31" s="18" t="n">
        <f aca="false">B31/C31</f>
        <v>63.7857142857143</v>
      </c>
      <c r="E31" s="20" t="n">
        <f aca="false">(B31-B30)/B30</f>
        <v>0.113914373088685</v>
      </c>
      <c r="F31" s="20" t="n">
        <f aca="false">(B31-B19)/B19</f>
        <v>0.0227583404145269</v>
      </c>
    </row>
    <row r="32" customFormat="false" ht="15" hidden="false" customHeight="false" outlineLevel="0" collapsed="false">
      <c r="A32" s="16" t="s">
        <v>82</v>
      </c>
      <c r="B32" s="8" t="n">
        <v>41850</v>
      </c>
      <c r="C32" s="17" t="n">
        <v>638</v>
      </c>
      <c r="D32" s="18" t="n">
        <f aca="false">B32/C32</f>
        <v>65.5956112852665</v>
      </c>
      <c r="E32" s="20" t="n">
        <f aca="false">(B32-B31)/B31</f>
        <v>-0.244120940649496</v>
      </c>
      <c r="F32" s="20" t="n">
        <f aca="false">(B32-B20)/B20</f>
        <v>-0.219856833942286</v>
      </c>
    </row>
    <row r="34" customFormat="false" ht="32" hidden="false" customHeight="true" outlineLevel="0" collapsed="false">
      <c r="A34" s="15" t="s">
        <v>83</v>
      </c>
      <c r="B34" s="15"/>
      <c r="C34" s="15"/>
      <c r="D34" s="15"/>
      <c r="E34" s="15"/>
      <c r="F34" s="15"/>
    </row>
  </sheetData>
  <mergeCells count="1"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6" t="s">
        <v>84</v>
      </c>
    </row>
    <row r="3" customFormat="false" ht="15" hidden="false" customHeight="false" outlineLevel="0" collapsed="false">
      <c r="A3" s="5" t="s">
        <v>85</v>
      </c>
    </row>
    <row r="4" customFormat="false" ht="15" hidden="false" customHeight="false" outlineLevel="0" collapsed="false">
      <c r="A4" s="3" t="s">
        <v>86</v>
      </c>
      <c r="B4" s="21" t="n">
        <v>0.42</v>
      </c>
    </row>
    <row r="5" customFormat="false" ht="15" hidden="false" customHeight="false" outlineLevel="0" collapsed="false">
      <c r="A5" s="3" t="s">
        <v>87</v>
      </c>
      <c r="B5" s="21" t="n">
        <v>0.14</v>
      </c>
    </row>
    <row r="6" customFormat="false" ht="15" hidden="false" customHeight="false" outlineLevel="0" collapsed="false">
      <c r="A6" s="3" t="s">
        <v>88</v>
      </c>
      <c r="B6" s="21" t="n">
        <v>0.09</v>
      </c>
    </row>
    <row r="7" customFormat="false" ht="15" hidden="false" customHeight="false" outlineLevel="0" collapsed="false">
      <c r="A7" s="3" t="s">
        <v>89</v>
      </c>
      <c r="B7" s="21" t="n">
        <v>0.035</v>
      </c>
    </row>
    <row r="9" customFormat="false" ht="15" hidden="false" customHeight="false" outlineLevel="0" collapsed="false">
      <c r="A9" s="5" t="s">
        <v>90</v>
      </c>
    </row>
    <row r="10" customFormat="false" ht="15" hidden="false" customHeight="false" outlineLevel="0" collapsed="false">
      <c r="A10" s="0" t="s">
        <v>91</v>
      </c>
      <c r="B10" s="5" t="s">
        <v>92</v>
      </c>
      <c r="C10" s="5" t="s">
        <v>93</v>
      </c>
      <c r="D10" s="5" t="s">
        <v>94</v>
      </c>
    </row>
    <row r="11" customFormat="false" ht="15" hidden="false" customHeight="false" outlineLevel="0" collapsed="false">
      <c r="A11" s="3" t="s">
        <v>95</v>
      </c>
      <c r="B11" s="22" t="n">
        <v>3200</v>
      </c>
      <c r="C11" s="22" t="n">
        <v>3500</v>
      </c>
      <c r="D11" s="22" t="n">
        <v>3700</v>
      </c>
    </row>
    <row r="12" customFormat="false" ht="15" hidden="false" customHeight="false" outlineLevel="0" collapsed="false">
      <c r="A12" s="3" t="s">
        <v>96</v>
      </c>
      <c r="B12" s="22" t="n">
        <v>850</v>
      </c>
      <c r="C12" s="22" t="n">
        <v>950</v>
      </c>
      <c r="D12" s="22" t="n">
        <v>950</v>
      </c>
    </row>
    <row r="14" customFormat="false" ht="22" hidden="false" customHeight="true" outlineLevel="0" collapsed="false">
      <c r="A14" s="15" t="s">
        <v>97</v>
      </c>
      <c r="B14" s="15"/>
      <c r="C14" s="15"/>
      <c r="D14" s="15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0B59E5BF386E428BCA0C7902ACEB95" ma:contentTypeVersion="11" ma:contentTypeDescription="Create a new document." ma:contentTypeScope="" ma:versionID="f819944b28009b5b53972080b124e518">
  <xsd:schema xmlns:xsd="http://www.w3.org/2001/XMLSchema" xmlns:xs="http://www.w3.org/2001/XMLSchema" xmlns:p="http://schemas.microsoft.com/office/2006/metadata/properties" xmlns:ns2="53ae4f94-cd96-47d8-8c02-d166c6d17880" xmlns:ns3="f01a1dc7-65ac-4612-b640-0912c5658d67" targetNamespace="http://schemas.microsoft.com/office/2006/metadata/properties" ma:root="true" ma:fieldsID="a87727a3e74209079f61d67a9b863abd" ns2:_="" ns3:_="">
    <xsd:import namespace="53ae4f94-cd96-47d8-8c02-d166c6d17880"/>
    <xsd:import namespace="f01a1dc7-65ac-4612-b640-0912c5658d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e4f94-cd96-47d8-8c02-d166c6d17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496df1-3e85-4d82-b40b-7273a1236d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1dc7-65ac-4612-b640-0912c5658d6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797ec3-e32f-4b11-b80e-3cae3c44fc32}" ma:internalName="TaxCatchAll" ma:showField="CatchAllData" ma:web="f01a1dc7-65ac-4612-b640-0912c5658d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1a1dc7-65ac-4612-b640-0912c5658d67" xsi:nil="true"/>
    <lcf76f155ced4ddcb4097134ff3c332f xmlns="53ae4f94-cd96-47d8-8c02-d166c6d17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38CD1-D246-415A-B6B2-D6893203AF76}"/>
</file>

<file path=customXml/itemProps2.xml><?xml version="1.0" encoding="utf-8"?>
<ds:datastoreItem xmlns:ds="http://schemas.openxmlformats.org/officeDocument/2006/customXml" ds:itemID="{2DDB4528-B4D6-4953-9D98-0F9D873CBD6F}"/>
</file>

<file path=customXml/itemProps3.xml><?xml version="1.0" encoding="utf-8"?>
<ds:datastoreItem xmlns:ds="http://schemas.openxmlformats.org/officeDocument/2006/customXml" ds:itemID="{1FDC9CAF-5C38-4F31-877B-9FD31F3D9B2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2026-07-22T12:44:34Z</dcterms:created>
  <dcterms:modified xsi:type="dcterms:W3CDTF">2026-07-22T12:44:34Z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0x010100630B59E5BF386E428BCA0C7902ACEB95</vt:lpwstr>
  </property>
</Properties>
</file>